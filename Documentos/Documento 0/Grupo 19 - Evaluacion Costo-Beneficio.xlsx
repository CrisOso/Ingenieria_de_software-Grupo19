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ori\Desktop\"/>
    </mc:Choice>
  </mc:AlternateContent>
  <xr:revisionPtr revIDLastSave="0" documentId="13_ncr:1_{18848885-57EC-4931-B697-7BC97A242E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RHH" sheetId="1" r:id="rId1"/>
    <sheet name="Licencias" sheetId="2" r:id="rId2"/>
    <sheet name="Evaluacion" sheetId="3" r:id="rId3"/>
    <sheet name="EdeCostoyBene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4" l="1"/>
  <c r="AB4" i="4"/>
  <c r="AC4" i="4"/>
  <c r="AD4" i="4"/>
  <c r="AE4" i="4"/>
  <c r="AF4" i="4"/>
  <c r="AG4" i="4"/>
  <c r="AH4" i="4"/>
  <c r="AI4" i="4"/>
  <c r="AJ4" i="4"/>
  <c r="AK4" i="4"/>
  <c r="AL4" i="4"/>
  <c r="O4" i="4"/>
  <c r="P4" i="4"/>
  <c r="Q4" i="4"/>
  <c r="R4" i="4"/>
  <c r="S4" i="4"/>
  <c r="T4" i="4"/>
  <c r="U4" i="4"/>
  <c r="V4" i="4"/>
  <c r="W4" i="4"/>
  <c r="X4" i="4"/>
  <c r="Y4" i="4"/>
  <c r="Z4" i="4"/>
  <c r="B6" i="3"/>
  <c r="C4" i="4"/>
  <c r="D4" i="4"/>
  <c r="E4" i="4"/>
  <c r="F4" i="4"/>
  <c r="G4" i="4"/>
  <c r="B9" i="4" s="1"/>
  <c r="H4" i="4"/>
  <c r="I4" i="4"/>
  <c r="J4" i="4"/>
  <c r="K4" i="4"/>
  <c r="L4" i="4"/>
  <c r="M4" i="4"/>
  <c r="N4" i="4"/>
  <c r="D12" i="1"/>
  <c r="C6" i="2"/>
  <c r="B3" i="3" s="1"/>
  <c r="B7" i="3"/>
  <c r="D7" i="1"/>
  <c r="D6" i="1"/>
  <c r="D5" i="1"/>
  <c r="D4" i="1"/>
  <c r="D3" i="1"/>
  <c r="D2" i="1"/>
  <c r="B8" i="4" l="1"/>
  <c r="B8" i="3"/>
  <c r="D10" i="1"/>
  <c r="D11" i="1" s="1"/>
  <c r="B2" i="3" s="1"/>
  <c r="B4" i="3" s="1"/>
</calcChain>
</file>

<file path=xl/sharedStrings.xml><?xml version="1.0" encoding="utf-8"?>
<sst xmlns="http://schemas.openxmlformats.org/spreadsheetml/2006/main" count="77" uniqueCount="76">
  <si>
    <t>Rol</t>
  </si>
  <si>
    <t>Cantidad</t>
  </si>
  <si>
    <t>Sueldo Mensual</t>
  </si>
  <si>
    <t>Costo Mensual</t>
  </si>
  <si>
    <t>Jefe Proyecto</t>
  </si>
  <si>
    <t>DevOps</t>
  </si>
  <si>
    <t>Total mensual</t>
  </si>
  <si>
    <t>Total anual</t>
  </si>
  <si>
    <t>Total con indirectos (30%)</t>
  </si>
  <si>
    <t>Concepto</t>
  </si>
  <si>
    <t>Costo Anual</t>
  </si>
  <si>
    <t>Total Licencias</t>
  </si>
  <si>
    <t>Monto CLP</t>
  </si>
  <si>
    <t>Costo RRHH Total</t>
  </si>
  <si>
    <t>Costo Licencias</t>
  </si>
  <si>
    <t>Costo Total Proyecto</t>
  </si>
  <si>
    <t>Beneficio mensual</t>
  </si>
  <si>
    <t>Beneficio anual</t>
  </si>
  <si>
    <t>Ganancia</t>
  </si>
  <si>
    <t>ROI</t>
  </si>
  <si>
    <t>CAJA</t>
  </si>
  <si>
    <t>Desarrollador Frontend</t>
  </si>
  <si>
    <t>Desarrollador Backend</t>
  </si>
  <si>
    <t>QA/Tester</t>
  </si>
  <si>
    <t>Analista Funcional</t>
  </si>
  <si>
    <t>Base de datos transaccional</t>
  </si>
  <si>
    <t>Backend serverless</t>
  </si>
  <si>
    <t>Frontend serverless</t>
  </si>
  <si>
    <t>Operador Automático</t>
  </si>
  <si>
    <t>Servicio GCP</t>
  </si>
  <si>
    <t>Cloud SQL (db-f1-micro)</t>
  </si>
  <si>
    <t>Cloud Run</t>
  </si>
  <si>
    <t>Firebase Hosting</t>
  </si>
  <si>
    <t>Cloud Functions</t>
  </si>
  <si>
    <t>TIR</t>
  </si>
  <si>
    <t>VAN</t>
  </si>
  <si>
    <t>INVERSION</t>
  </si>
  <si>
    <t>Costo</t>
  </si>
  <si>
    <t>Beneficio</t>
  </si>
  <si>
    <t>Mes12</t>
  </si>
  <si>
    <t>Mes11</t>
  </si>
  <si>
    <t>Mes10</t>
  </si>
  <si>
    <t>Mes9</t>
  </si>
  <si>
    <t>Mes8</t>
  </si>
  <si>
    <t>Mes7</t>
  </si>
  <si>
    <t>Mes6</t>
  </si>
  <si>
    <t>Mes5</t>
  </si>
  <si>
    <t>Mes4</t>
  </si>
  <si>
    <t>Mes3</t>
  </si>
  <si>
    <t>Mes2</t>
  </si>
  <si>
    <t>Mes1</t>
  </si>
  <si>
    <t>Periodo 0</t>
  </si>
  <si>
    <t>Mes13</t>
  </si>
  <si>
    <t>Mes14</t>
  </si>
  <si>
    <t>Mes15</t>
  </si>
  <si>
    <t>Mes16</t>
  </si>
  <si>
    <t>Mes17</t>
  </si>
  <si>
    <t>Mes18</t>
  </si>
  <si>
    <t>Mes19</t>
  </si>
  <si>
    <t>Mes20</t>
  </si>
  <si>
    <t>Mes21</t>
  </si>
  <si>
    <t>Mes22</t>
  </si>
  <si>
    <t>Mes23</t>
  </si>
  <si>
    <t>Mes24</t>
  </si>
  <si>
    <t>Mes25</t>
  </si>
  <si>
    <t>Mes26</t>
  </si>
  <si>
    <t>Mes27</t>
  </si>
  <si>
    <t>Mes28</t>
  </si>
  <si>
    <t>Mes29</t>
  </si>
  <si>
    <t>Mes30</t>
  </si>
  <si>
    <t>Mes31</t>
  </si>
  <si>
    <t>Mes32</t>
  </si>
  <si>
    <t>Mes33</t>
  </si>
  <si>
    <t>Mes34</t>
  </si>
  <si>
    <t>Mes35</t>
  </si>
  <si>
    <t>Mes36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</si>
</sst>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2"/>
      <name val="Apto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1" fillId="6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0" borderId="3" xfId="0" applyFont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 wrapText="1"/>
    </xf>
    <xf numFmtId="42" fontId="2" fillId="0" borderId="2" xfId="1" applyFont="1" applyBorder="1" applyAlignment="1">
      <alignment vertical="center" wrapText="1"/>
    </xf>
    <xf numFmtId="42" fontId="0" fillId="0" borderId="1" xfId="1" applyFont="1" applyBorder="1"/>
    <xf numFmtId="42" fontId="2" fillId="0" borderId="3" xfId="1" applyFont="1" applyBorder="1" applyAlignment="1">
      <alignment vertical="center" wrapText="1"/>
    </xf>
    <xf numFmtId="42" fontId="0" fillId="2" borderId="1" xfId="1" applyFont="1" applyFill="1" applyBorder="1"/>
    <xf numFmtId="42" fontId="0" fillId="3" borderId="1" xfId="1" applyFont="1" applyFill="1" applyBorder="1"/>
    <xf numFmtId="42" fontId="0" fillId="4" borderId="1" xfId="1" applyFont="1" applyFill="1" applyBorder="1"/>
    <xf numFmtId="9" fontId="6" fillId="5" borderId="1" xfId="0" applyNumberFormat="1" applyFont="1" applyFill="1" applyBorder="1"/>
    <xf numFmtId="0" fontId="6" fillId="5" borderId="1" xfId="0" applyFont="1" applyFill="1" applyBorder="1"/>
    <xf numFmtId="0" fontId="0" fillId="8" borderId="1" xfId="0" applyFill="1" applyBorder="1"/>
    <xf numFmtId="0" fontId="1" fillId="6" borderId="0" xfId="0" applyFont="1" applyFill="1" applyAlignment="1">
      <alignment horizontal="center" vertical="center"/>
    </xf>
    <xf numFmtId="42" fontId="0" fillId="8" borderId="1" xfId="1" applyFont="1" applyFill="1" applyBorder="1"/>
    <xf numFmtId="42" fontId="6" fillId="5" borderId="1" xfId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30" zoomScaleNormal="130" workbookViewId="0">
      <selection activeCell="D13" sqref="D13"/>
    </sheetView>
  </sheetViews>
  <sheetFormatPr baseColWidth="10" defaultColWidth="8.7109375" defaultRowHeight="15" x14ac:dyDescent="0.25"/>
  <cols>
    <col min="1" max="1" width="21.85546875" customWidth="1"/>
    <col min="3" max="3" width="15.7109375" customWidth="1"/>
    <col min="4" max="4" width="17.140625" customWidth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6.5" thickBot="1" x14ac:dyDescent="0.3">
      <c r="A2" s="1" t="s">
        <v>4</v>
      </c>
      <c r="B2" s="1">
        <v>1</v>
      </c>
      <c r="C2" s="11">
        <v>1500000</v>
      </c>
      <c r="D2" s="12">
        <f t="shared" ref="D2:D7" si="0">B2*C2</f>
        <v>1500000</v>
      </c>
    </row>
    <row r="3" spans="1:4" ht="16.5" thickBot="1" x14ac:dyDescent="0.3">
      <c r="A3" s="1" t="s">
        <v>21</v>
      </c>
      <c r="B3" s="1">
        <v>1</v>
      </c>
      <c r="C3" s="13">
        <v>1200000</v>
      </c>
      <c r="D3" s="12">
        <f t="shared" si="0"/>
        <v>1200000</v>
      </c>
    </row>
    <row r="4" spans="1:4" ht="16.5" thickBot="1" x14ac:dyDescent="0.3">
      <c r="A4" s="1" t="s">
        <v>22</v>
      </c>
      <c r="B4" s="1">
        <v>2</v>
      </c>
      <c r="C4" s="13">
        <v>2300000</v>
      </c>
      <c r="D4" s="12">
        <f t="shared" si="0"/>
        <v>4600000</v>
      </c>
    </row>
    <row r="5" spans="1:4" ht="16.5" thickBot="1" x14ac:dyDescent="0.3">
      <c r="A5" s="1" t="s">
        <v>5</v>
      </c>
      <c r="B5" s="1">
        <v>1</v>
      </c>
      <c r="C5" s="13">
        <v>2100000</v>
      </c>
      <c r="D5" s="12">
        <f t="shared" si="0"/>
        <v>2100000</v>
      </c>
    </row>
    <row r="6" spans="1:4" ht="16.5" thickBot="1" x14ac:dyDescent="0.3">
      <c r="A6" s="1" t="s">
        <v>23</v>
      </c>
      <c r="B6" s="1">
        <v>1</v>
      </c>
      <c r="C6" s="13">
        <v>1400000</v>
      </c>
      <c r="D6" s="12">
        <f t="shared" si="0"/>
        <v>1400000</v>
      </c>
    </row>
    <row r="7" spans="1:4" ht="16.5" thickBot="1" x14ac:dyDescent="0.3">
      <c r="A7" s="1" t="s">
        <v>24</v>
      </c>
      <c r="B7" s="1">
        <v>1</v>
      </c>
      <c r="C7" s="13">
        <v>1700000</v>
      </c>
      <c r="D7" s="12">
        <f t="shared" si="0"/>
        <v>1700000</v>
      </c>
    </row>
    <row r="10" spans="1:4" x14ac:dyDescent="0.25">
      <c r="C10" s="1" t="s">
        <v>6</v>
      </c>
      <c r="D10" s="12">
        <f>SUM(D2:D7)</f>
        <v>12500000</v>
      </c>
    </row>
    <row r="11" spans="1:4" x14ac:dyDescent="0.25">
      <c r="C11" s="1" t="s">
        <v>7</v>
      </c>
      <c r="D11" s="12">
        <f>D10*12</f>
        <v>150000000</v>
      </c>
    </row>
    <row r="12" spans="1:4" x14ac:dyDescent="0.25">
      <c r="C12" s="3" t="s">
        <v>8</v>
      </c>
      <c r="D12" s="14">
        <f>D11*1.3</f>
        <v>195000000</v>
      </c>
    </row>
    <row r="13" spans="1:4" x14ac:dyDescent="0.25">
      <c r="C13" s="1" t="s">
        <v>20</v>
      </c>
      <c r="D13" s="12">
        <v>93600000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130" zoomScaleNormal="130" workbookViewId="0">
      <selection activeCell="E4" sqref="E4"/>
    </sheetView>
  </sheetViews>
  <sheetFormatPr baseColWidth="10" defaultColWidth="8.7109375" defaultRowHeight="15" x14ac:dyDescent="0.25"/>
  <cols>
    <col min="1" max="1" width="24.85546875" customWidth="1"/>
    <col min="2" max="2" width="26.5703125" customWidth="1"/>
    <col min="3" max="3" width="15.5703125" customWidth="1"/>
  </cols>
  <sheetData>
    <row r="1" spans="1:3" ht="16.5" thickBot="1" x14ac:dyDescent="0.3">
      <c r="A1" s="9" t="s">
        <v>9</v>
      </c>
      <c r="B1" s="10" t="s">
        <v>29</v>
      </c>
      <c r="C1" s="9" t="s">
        <v>10</v>
      </c>
    </row>
    <row r="2" spans="1:3" ht="36.75" customHeight="1" thickBot="1" x14ac:dyDescent="0.3">
      <c r="A2" s="1" t="s">
        <v>25</v>
      </c>
      <c r="B2" s="8" t="s">
        <v>30</v>
      </c>
      <c r="C2" s="12">
        <v>105263</v>
      </c>
    </row>
    <row r="3" spans="1:3" ht="18.75" customHeight="1" thickBot="1" x14ac:dyDescent="0.3">
      <c r="A3" s="1" t="s">
        <v>26</v>
      </c>
      <c r="B3" s="8" t="s">
        <v>31</v>
      </c>
      <c r="C3" s="12">
        <v>0</v>
      </c>
    </row>
    <row r="4" spans="1:3" ht="32.25" customHeight="1" thickBot="1" x14ac:dyDescent="0.3">
      <c r="A4" s="1" t="s">
        <v>27</v>
      </c>
      <c r="B4" s="8" t="s">
        <v>32</v>
      </c>
      <c r="C4" s="12">
        <v>0</v>
      </c>
    </row>
    <row r="5" spans="1:3" ht="20.25" customHeight="1" thickBot="1" x14ac:dyDescent="0.3">
      <c r="A5" s="1" t="s">
        <v>28</v>
      </c>
      <c r="B5" s="8" t="s">
        <v>33</v>
      </c>
      <c r="C5" s="12">
        <v>0</v>
      </c>
    </row>
    <row r="6" spans="1:3" x14ac:dyDescent="0.25">
      <c r="A6" s="4" t="s">
        <v>11</v>
      </c>
      <c r="B6" s="4"/>
      <c r="C6" s="15">
        <f>SUM(C2:C5)</f>
        <v>105263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="130" zoomScaleNormal="130" workbookViewId="0">
      <selection activeCell="B8" sqref="B8"/>
    </sheetView>
  </sheetViews>
  <sheetFormatPr baseColWidth="10" defaultColWidth="8.7109375" defaultRowHeight="15" x14ac:dyDescent="0.25"/>
  <cols>
    <col min="1" max="1" width="19" customWidth="1"/>
    <col min="2" max="2" width="31.28515625" customWidth="1"/>
  </cols>
  <sheetData>
    <row r="1" spans="1:2" x14ac:dyDescent="0.25">
      <c r="A1" s="5" t="s">
        <v>9</v>
      </c>
      <c r="B1" s="5" t="s">
        <v>12</v>
      </c>
    </row>
    <row r="2" spans="1:2" x14ac:dyDescent="0.25">
      <c r="A2" s="3" t="s">
        <v>13</v>
      </c>
      <c r="B2" s="14">
        <f>RRHH!D12</f>
        <v>195000000</v>
      </c>
    </row>
    <row r="3" spans="1:2" x14ac:dyDescent="0.25">
      <c r="A3" s="4" t="s">
        <v>14</v>
      </c>
      <c r="B3" s="15">
        <f>Licencias!C6</f>
        <v>105263</v>
      </c>
    </row>
    <row r="4" spans="1:2" x14ac:dyDescent="0.25">
      <c r="A4" s="1" t="s">
        <v>15</v>
      </c>
      <c r="B4" s="12">
        <f>B2+B3</f>
        <v>195105263</v>
      </c>
    </row>
    <row r="5" spans="1:2" x14ac:dyDescent="0.25">
      <c r="A5" s="1" t="s">
        <v>16</v>
      </c>
      <c r="B5" s="12">
        <v>2500000</v>
      </c>
    </row>
    <row r="6" spans="1:2" x14ac:dyDescent="0.25">
      <c r="A6" s="6" t="s">
        <v>17</v>
      </c>
      <c r="B6" s="16">
        <f>B5*12</f>
        <v>30000000</v>
      </c>
    </row>
    <row r="7" spans="1:2" x14ac:dyDescent="0.25">
      <c r="A7" s="1" t="s">
        <v>18</v>
      </c>
      <c r="B7" s="12">
        <f>B6-B4</f>
        <v>-165105263</v>
      </c>
    </row>
    <row r="8" spans="1:2" x14ac:dyDescent="0.25">
      <c r="A8" s="7" t="s">
        <v>19</v>
      </c>
      <c r="B8" s="7">
        <f>B6/B4</f>
        <v>0.15376315092022916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C8C3-7F0E-4BDF-BD42-C0BFF58D24D4}">
  <dimension ref="A1:AL9"/>
  <sheetViews>
    <sheetView zoomScale="130" zoomScaleNormal="130" workbookViewId="0">
      <selection activeCell="C6" sqref="C6"/>
    </sheetView>
  </sheetViews>
  <sheetFormatPr baseColWidth="10" defaultRowHeight="15" x14ac:dyDescent="0.25"/>
  <cols>
    <col min="1" max="1" width="10.85546875" bestFit="1" customWidth="1"/>
    <col min="2" max="14" width="13.5703125" bestFit="1" customWidth="1"/>
    <col min="15" max="38" width="11.85546875" bestFit="1" customWidth="1"/>
  </cols>
  <sheetData>
    <row r="1" spans="1:38" x14ac:dyDescent="0.25">
      <c r="B1" s="20" t="s">
        <v>51</v>
      </c>
      <c r="C1" s="20" t="s">
        <v>50</v>
      </c>
      <c r="D1" s="20" t="s">
        <v>49</v>
      </c>
      <c r="E1" s="20" t="s">
        <v>48</v>
      </c>
      <c r="F1" s="20" t="s">
        <v>47</v>
      </c>
      <c r="G1" s="20" t="s">
        <v>46</v>
      </c>
      <c r="H1" s="20" t="s">
        <v>45</v>
      </c>
      <c r="I1" s="20" t="s">
        <v>44</v>
      </c>
      <c r="J1" s="20" t="s">
        <v>43</v>
      </c>
      <c r="K1" s="20" t="s">
        <v>42</v>
      </c>
      <c r="L1" s="20" t="s">
        <v>41</v>
      </c>
      <c r="M1" s="20" t="s">
        <v>40</v>
      </c>
      <c r="N1" s="20" t="s">
        <v>39</v>
      </c>
      <c r="O1" s="20" t="s">
        <v>52</v>
      </c>
      <c r="P1" s="20" t="s">
        <v>53</v>
      </c>
      <c r="Q1" s="20" t="s">
        <v>54</v>
      </c>
      <c r="R1" s="20" t="s">
        <v>55</v>
      </c>
      <c r="S1" s="20" t="s">
        <v>56</v>
      </c>
      <c r="T1" s="20" t="s">
        <v>57</v>
      </c>
      <c r="U1" s="20" t="s">
        <v>58</v>
      </c>
      <c r="V1" s="20" t="s">
        <v>59</v>
      </c>
      <c r="W1" s="20" t="s">
        <v>60</v>
      </c>
      <c r="X1" s="20" t="s">
        <v>61</v>
      </c>
      <c r="Y1" s="20" t="s">
        <v>62</v>
      </c>
      <c r="Z1" s="20" t="s">
        <v>63</v>
      </c>
      <c r="AA1" s="20" t="s">
        <v>64</v>
      </c>
      <c r="AB1" s="20" t="s">
        <v>65</v>
      </c>
      <c r="AC1" s="20" t="s">
        <v>66</v>
      </c>
      <c r="AD1" s="20" t="s">
        <v>67</v>
      </c>
      <c r="AE1" s="20" t="s">
        <v>68</v>
      </c>
      <c r="AF1" s="20" t="s">
        <v>69</v>
      </c>
      <c r="AG1" s="20" t="s">
        <v>70</v>
      </c>
      <c r="AH1" s="20" t="s">
        <v>71</v>
      </c>
      <c r="AI1" s="20" t="s">
        <v>72</v>
      </c>
      <c r="AJ1" s="20" t="s">
        <v>73</v>
      </c>
      <c r="AK1" s="20" t="s">
        <v>74</v>
      </c>
      <c r="AL1" s="20" t="s">
        <v>75</v>
      </c>
    </row>
    <row r="2" spans="1:38" x14ac:dyDescent="0.25">
      <c r="A2" s="3" t="s">
        <v>38</v>
      </c>
      <c r="B2" s="14"/>
      <c r="C2" s="14">
        <v>4000000</v>
      </c>
      <c r="D2" s="14">
        <v>4000000</v>
      </c>
      <c r="E2" s="14">
        <v>4000000</v>
      </c>
      <c r="F2" s="14">
        <v>4000000</v>
      </c>
      <c r="G2" s="14">
        <v>4000000</v>
      </c>
      <c r="H2" s="14">
        <v>4000000</v>
      </c>
      <c r="I2" s="14">
        <v>4000000</v>
      </c>
      <c r="J2" s="14">
        <v>4000000</v>
      </c>
      <c r="K2" s="14">
        <v>4000000</v>
      </c>
      <c r="L2" s="14">
        <v>4000000</v>
      </c>
      <c r="M2" s="14">
        <v>4000000</v>
      </c>
      <c r="N2" s="14">
        <v>4000000</v>
      </c>
      <c r="O2" s="14">
        <v>4000000</v>
      </c>
      <c r="P2" s="14">
        <v>4000000</v>
      </c>
      <c r="Q2" s="14">
        <v>4000000</v>
      </c>
      <c r="R2" s="14">
        <v>4000000</v>
      </c>
      <c r="S2" s="14">
        <v>4000000</v>
      </c>
      <c r="T2" s="14">
        <v>4000000</v>
      </c>
      <c r="U2" s="14">
        <v>4000000</v>
      </c>
      <c r="V2" s="14">
        <v>4000000</v>
      </c>
      <c r="W2" s="14">
        <v>4000000</v>
      </c>
      <c r="X2" s="14">
        <v>4000000</v>
      </c>
      <c r="Y2" s="14">
        <v>4000000</v>
      </c>
      <c r="Z2" s="14">
        <v>4000000</v>
      </c>
      <c r="AA2" s="14">
        <v>4000000</v>
      </c>
      <c r="AB2" s="14">
        <v>4000000</v>
      </c>
      <c r="AC2" s="14">
        <v>4000000</v>
      </c>
      <c r="AD2" s="14">
        <v>4000000</v>
      </c>
      <c r="AE2" s="14">
        <v>4000000</v>
      </c>
      <c r="AF2" s="14">
        <v>4000000</v>
      </c>
      <c r="AG2" s="14">
        <v>4000000</v>
      </c>
      <c r="AH2" s="14">
        <v>4000000</v>
      </c>
      <c r="AI2" s="14">
        <v>4000000</v>
      </c>
      <c r="AJ2" s="14">
        <v>4000000</v>
      </c>
      <c r="AK2" s="14">
        <v>4000000</v>
      </c>
      <c r="AL2" s="14">
        <v>4000000</v>
      </c>
    </row>
    <row r="3" spans="1:38" x14ac:dyDescent="0.25">
      <c r="A3" s="4" t="s">
        <v>37</v>
      </c>
      <c r="B3" s="15"/>
      <c r="C3" s="15">
        <v>12500000</v>
      </c>
      <c r="D3" s="15">
        <v>12500000</v>
      </c>
      <c r="E3" s="15">
        <v>12500000</v>
      </c>
      <c r="F3" s="15">
        <v>12500000</v>
      </c>
      <c r="G3" s="15">
        <v>12500000</v>
      </c>
      <c r="H3" s="15">
        <v>12500000</v>
      </c>
      <c r="I3" s="15">
        <v>12500000</v>
      </c>
      <c r="J3" s="15">
        <v>12500000</v>
      </c>
      <c r="K3" s="15">
        <v>12500000</v>
      </c>
      <c r="L3" s="15">
        <v>12500000</v>
      </c>
      <c r="M3" s="15">
        <v>12500000</v>
      </c>
      <c r="N3" s="15">
        <v>12500000</v>
      </c>
      <c r="O3" s="15">
        <v>10000</v>
      </c>
      <c r="P3" s="15">
        <v>10000</v>
      </c>
      <c r="Q3" s="15">
        <v>10000</v>
      </c>
      <c r="R3" s="15">
        <v>10000</v>
      </c>
      <c r="S3" s="15">
        <v>10000</v>
      </c>
      <c r="T3" s="15">
        <v>10000</v>
      </c>
      <c r="U3" s="15">
        <v>10000</v>
      </c>
      <c r="V3" s="15">
        <v>10000</v>
      </c>
      <c r="W3" s="15">
        <v>10000</v>
      </c>
      <c r="X3" s="15">
        <v>10000</v>
      </c>
      <c r="Y3" s="15">
        <v>10000</v>
      </c>
      <c r="Z3" s="15">
        <v>10000</v>
      </c>
      <c r="AA3" s="15">
        <v>10000</v>
      </c>
      <c r="AB3" s="15">
        <v>10000</v>
      </c>
      <c r="AC3" s="15">
        <v>10000</v>
      </c>
      <c r="AD3" s="15">
        <v>10000</v>
      </c>
      <c r="AE3" s="15">
        <v>10000</v>
      </c>
      <c r="AF3" s="15">
        <v>10000</v>
      </c>
      <c r="AG3" s="15">
        <v>10000</v>
      </c>
      <c r="AH3" s="15">
        <v>10000</v>
      </c>
      <c r="AI3" s="15">
        <v>10000</v>
      </c>
      <c r="AJ3" s="15">
        <v>10000</v>
      </c>
      <c r="AK3" s="15">
        <v>10000</v>
      </c>
      <c r="AL3" s="15">
        <v>10000</v>
      </c>
    </row>
    <row r="4" spans="1:38" x14ac:dyDescent="0.25">
      <c r="A4" s="19" t="s">
        <v>36</v>
      </c>
      <c r="B4" s="21">
        <v>-1000000</v>
      </c>
      <c r="C4" s="21">
        <f>C2-C3</f>
        <v>-8500000</v>
      </c>
      <c r="D4" s="21">
        <f>D2-D3</f>
        <v>-8500000</v>
      </c>
      <c r="E4" s="21">
        <f>E2-E3</f>
        <v>-8500000</v>
      </c>
      <c r="F4" s="21">
        <f>F2-F3</f>
        <v>-8500000</v>
      </c>
      <c r="G4" s="21">
        <f>G2-G3</f>
        <v>-8500000</v>
      </c>
      <c r="H4" s="21">
        <f>H2-H3</f>
        <v>-8500000</v>
      </c>
      <c r="I4" s="21">
        <f>I2-I3</f>
        <v>-8500000</v>
      </c>
      <c r="J4" s="21">
        <f>J2-J3</f>
        <v>-8500000</v>
      </c>
      <c r="K4" s="21">
        <f>K2-K3</f>
        <v>-8500000</v>
      </c>
      <c r="L4" s="21">
        <f>L2-L3</f>
        <v>-8500000</v>
      </c>
      <c r="M4" s="21">
        <f>M2-M3</f>
        <v>-8500000</v>
      </c>
      <c r="N4" s="21">
        <f>N2-N3</f>
        <v>-8500000</v>
      </c>
      <c r="O4" s="21">
        <f t="shared" ref="O4:Z4" si="0">O2-O3</f>
        <v>3990000</v>
      </c>
      <c r="P4" s="21">
        <f t="shared" si="0"/>
        <v>3990000</v>
      </c>
      <c r="Q4" s="21">
        <f t="shared" si="0"/>
        <v>3990000</v>
      </c>
      <c r="R4" s="21">
        <f t="shared" si="0"/>
        <v>3990000</v>
      </c>
      <c r="S4" s="21">
        <f t="shared" si="0"/>
        <v>3990000</v>
      </c>
      <c r="T4" s="21">
        <f t="shared" si="0"/>
        <v>3990000</v>
      </c>
      <c r="U4" s="21">
        <f t="shared" si="0"/>
        <v>3990000</v>
      </c>
      <c r="V4" s="21">
        <f t="shared" si="0"/>
        <v>3990000</v>
      </c>
      <c r="W4" s="21">
        <f t="shared" si="0"/>
        <v>3990000</v>
      </c>
      <c r="X4" s="21">
        <f t="shared" si="0"/>
        <v>3990000</v>
      </c>
      <c r="Y4" s="21">
        <f t="shared" si="0"/>
        <v>3990000</v>
      </c>
      <c r="Z4" s="21">
        <f t="shared" si="0"/>
        <v>3990000</v>
      </c>
      <c r="AA4" s="21">
        <f t="shared" ref="AA4" si="1">AA2-AA3</f>
        <v>3990000</v>
      </c>
      <c r="AB4" s="21">
        <f t="shared" ref="AB4" si="2">AB2-AB3</f>
        <v>3990000</v>
      </c>
      <c r="AC4" s="21">
        <f t="shared" ref="AC4" si="3">AC2-AC3</f>
        <v>3990000</v>
      </c>
      <c r="AD4" s="21">
        <f t="shared" ref="AD4" si="4">AD2-AD3</f>
        <v>3990000</v>
      </c>
      <c r="AE4" s="21">
        <f t="shared" ref="AE4" si="5">AE2-AE3</f>
        <v>3990000</v>
      </c>
      <c r="AF4" s="21">
        <f t="shared" ref="AF4" si="6">AF2-AF3</f>
        <v>3990000</v>
      </c>
      <c r="AG4" s="21">
        <f t="shared" ref="AG4" si="7">AG2-AG3</f>
        <v>3990000</v>
      </c>
      <c r="AH4" s="21">
        <f t="shared" ref="AH4" si="8">AH2-AH3</f>
        <v>3990000</v>
      </c>
      <c r="AI4" s="21">
        <f t="shared" ref="AI4" si="9">AI2-AI3</f>
        <v>3990000</v>
      </c>
      <c r="AJ4" s="21">
        <f t="shared" ref="AJ4" si="10">AJ2-AJ3</f>
        <v>3990000</v>
      </c>
      <c r="AK4" s="21">
        <f t="shared" ref="AK4" si="11">AK2-AK3</f>
        <v>3990000</v>
      </c>
      <c r="AL4" s="21">
        <f t="shared" ref="AL4" si="12">AL2-AL3</f>
        <v>3990000</v>
      </c>
    </row>
    <row r="8" spans="1:38" x14ac:dyDescent="0.25">
      <c r="A8" s="18" t="s">
        <v>35</v>
      </c>
      <c r="B8" s="22">
        <f>NPV(0.1,C4:AL4)+B4</f>
        <v>-47493743.321849935</v>
      </c>
    </row>
    <row r="9" spans="1:38" x14ac:dyDescent="0.25">
      <c r="A9" s="18" t="s">
        <v>34</v>
      </c>
      <c r="B9" s="17">
        <f>IRR(B4:AL4)</f>
        <v>-4.0109307324319721E-3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RRHH</vt:lpstr>
      <vt:lpstr>Licencias</vt:lpstr>
      <vt:lpstr>Evaluacion</vt:lpstr>
      <vt:lpstr>EdeCostoyBenef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OSORIO RIQUELME CRISTOBAL A</cp:lastModifiedBy>
  <dcterms:created xsi:type="dcterms:W3CDTF">2026-04-05T00:38:49Z</dcterms:created>
  <dcterms:modified xsi:type="dcterms:W3CDTF">2026-04-26T03:57:00Z</dcterms:modified>
</cp:coreProperties>
</file>